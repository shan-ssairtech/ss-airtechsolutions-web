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c72cc86ae42af23/Desktop/Sollant Compressors/Sollant Price/"/>
    </mc:Choice>
  </mc:AlternateContent>
  <xr:revisionPtr revIDLastSave="25" documentId="13_ncr:1_{C143B7E6-CBBC-42D3-9ACB-94A50BED72B3}" xr6:coauthVersionLast="47" xr6:coauthVersionMax="47" xr10:uidLastSave="{97C7CEBB-2B7F-4DD6-AF21-49402194D90E}"/>
  <bookViews>
    <workbookView xWindow="-110" yWindow="-110" windowWidth="19420" windowHeight="10300" tabRatio="754" xr2:uid="{00000000-000D-0000-FFFF-FFFF00000000}"/>
  </bookViews>
  <sheets>
    <sheet name="TM PMSM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7" l="1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</calcChain>
</file>

<file path=xl/sharedStrings.xml><?xml version="1.0" encoding="utf-8"?>
<sst xmlns="http://schemas.openxmlformats.org/spreadsheetml/2006/main" count="67" uniqueCount="34">
  <si>
    <t>Model</t>
  </si>
  <si>
    <t>Power</t>
  </si>
  <si>
    <t>Kw</t>
  </si>
  <si>
    <t>Hp</t>
  </si>
  <si>
    <t xml:space="preserve">Capacity </t>
  </si>
  <si>
    <t>M3/min</t>
  </si>
  <si>
    <t>Cfm</t>
  </si>
  <si>
    <t>Working pressure (Bar)</t>
  </si>
  <si>
    <t>Air outlet diameter</t>
  </si>
  <si>
    <t>Noise level (db)</t>
  </si>
  <si>
    <t>Drive Method</t>
  </si>
  <si>
    <t>Start Method</t>
  </si>
  <si>
    <t>External Dimentions (L*W*H (mm)</t>
  </si>
  <si>
    <t>Weight kg</t>
  </si>
  <si>
    <r>
      <t xml:space="preserve">60 </t>
    </r>
    <r>
      <rPr>
        <sz val="11"/>
        <color theme="1"/>
        <rFont val="Calibri"/>
        <family val="2"/>
      </rPr>
      <t>± 2</t>
    </r>
  </si>
  <si>
    <t>62 ± 2</t>
  </si>
  <si>
    <t>64 ± 2</t>
  </si>
  <si>
    <t>SLT-7.5F</t>
  </si>
  <si>
    <t>SLT-11F</t>
  </si>
  <si>
    <t>SLT-15F</t>
  </si>
  <si>
    <t>SLT-18F</t>
  </si>
  <si>
    <t>SLT-22F</t>
  </si>
  <si>
    <t xml:space="preserve">AIR TANK  CAPACITY(L) </t>
  </si>
  <si>
    <t>Lubricant oil volume (L)</t>
  </si>
  <si>
    <t>G/3/4</t>
  </si>
  <si>
    <r>
      <t>Y/</t>
    </r>
    <r>
      <rPr>
        <sz val="11"/>
        <color theme="1"/>
        <rFont val="Dubai"/>
        <family val="2"/>
      </rPr>
      <t>∆</t>
    </r>
  </si>
  <si>
    <t>1780*740*1610</t>
  </si>
  <si>
    <t>Y/∆</t>
  </si>
  <si>
    <t>1780*740*1611</t>
  </si>
  <si>
    <t>2200*1030*1830</t>
  </si>
  <si>
    <t>G1</t>
  </si>
  <si>
    <t>PM VSD Hanbell AB (PERMANENT MAGNET MOTOR +FREQUENCY INVENTER    4 IN 1</t>
  </si>
  <si>
    <t>DD</t>
  </si>
  <si>
    <t>1560*710*1540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</si>
</sst>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Duba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0" borderId="0" xfId="0" applyAlignment="1">
      <alignment vertic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1" fontId="0" fillId="4" borderId="10" xfId="0" applyNumberFormat="1" applyFill="1" applyBorder="1" applyAlignment="1">
      <alignment horizont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C302-56D6-4B7C-92AA-6F637EA5B53F}">
  <sheetPr>
    <pageSetUpPr fitToPage="1"/>
  </sheetPr>
  <dimension ref="A1:P22"/>
  <sheetViews>
    <sheetView tabSelected="1" zoomScale="84" zoomScaleNormal="90" workbookViewId="0">
      <selection activeCell="R10" sqref="R10"/>
    </sheetView>
  </sheetViews>
  <sheetFormatPr defaultColWidth="11.1796875" defaultRowHeight="14.5" x14ac:dyDescent="0.35"/>
  <cols>
    <col min="1" max="1" width="8.36328125" customWidth="1"/>
    <col min="2" max="2" width="4.90625" customWidth="1"/>
    <col min="3" max="3" width="4.54296875" customWidth="1"/>
    <col min="4" max="4" width="8" style="1" customWidth="1"/>
    <col min="5" max="5" width="9.1796875" style="1" customWidth="1"/>
    <col min="6" max="7" width="8.36328125" customWidth="1"/>
    <col min="8" max="8" width="9.81640625" customWidth="1"/>
    <col min="9" max="9" width="11.08984375" customWidth="1"/>
    <col min="10" max="10" width="9.81640625" style="16" customWidth="1"/>
    <col min="11" max="11" width="9.7265625" customWidth="1"/>
    <col min="12" max="12" width="9" customWidth="1"/>
    <col min="13" max="13" width="12.453125" customWidth="1"/>
    <col min="14" max="14" width="9.90625" customWidth="1"/>
    <col min="15" max="15" width="11.08984375" style="20" customWidth="1"/>
  </cols>
  <sheetData>
    <row r="1" spans="1:16" ht="19" thickBot="1" x14ac:dyDescent="0.4">
      <c r="A1" s="39" t="s">
        <v>31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42" t="s">
        <v>0</v>
      </c>
      <c r="B2" s="43" t="s">
        <v>1</v>
      </c>
      <c r="C2" s="43"/>
      <c r="D2" s="44" t="s">
        <v>4</v>
      </c>
      <c r="E2" s="45"/>
      <c r="F2" s="45"/>
      <c r="G2" s="46"/>
      <c r="H2" s="37" t="s">
        <v>7</v>
      </c>
      <c r="I2" s="38" t="s">
        <v>22</v>
      </c>
      <c r="J2" s="37" t="s">
        <v>8</v>
      </c>
      <c r="K2" s="37" t="s">
        <v>9</v>
      </c>
      <c r="L2" s="38" t="s">
        <v>23</v>
      </c>
      <c r="M2" s="37" t="s">
        <v>10</v>
      </c>
      <c r="N2" s="37" t="s">
        <v>11</v>
      </c>
      <c r="O2" s="37" t="s">
        <v>12</v>
      </c>
      <c r="P2" s="47" t="s">
        <v>13</v>
      </c>
    </row>
    <row r="3" spans="1:16" ht="29.5" customHeight="1" x14ac:dyDescent="0.35">
      <c r="A3" s="36"/>
      <c r="B3" s="5" t="s">
        <v>2</v>
      </c>
      <c r="C3" s="5" t="s">
        <v>3</v>
      </c>
      <c r="D3" s="35" t="s">
        <v>5</v>
      </c>
      <c r="E3" s="41"/>
      <c r="F3" s="35" t="s">
        <v>6</v>
      </c>
      <c r="G3" s="41"/>
      <c r="H3" s="34"/>
      <c r="I3" s="37"/>
      <c r="J3" s="34"/>
      <c r="K3" s="34"/>
      <c r="L3" s="37"/>
      <c r="M3" s="34"/>
      <c r="N3" s="34"/>
      <c r="O3" s="34"/>
      <c r="P3" s="48"/>
    </row>
    <row r="4" spans="1:16" ht="25" customHeight="1" x14ac:dyDescent="0.35">
      <c r="A4" s="22" t="s">
        <v>17</v>
      </c>
      <c r="B4" s="21">
        <v>7.5</v>
      </c>
      <c r="C4" s="21">
        <v>10</v>
      </c>
      <c r="D4" s="2">
        <v>0.49</v>
      </c>
      <c r="E4" s="2">
        <v>1.1000000000000001</v>
      </c>
      <c r="F4" s="4">
        <f>D4*35.31</f>
        <v>17.3019</v>
      </c>
      <c r="G4" s="4">
        <f>E4*35.31</f>
        <v>38.841000000000008</v>
      </c>
      <c r="H4" s="2">
        <v>8</v>
      </c>
      <c r="I4" s="29">
        <v>285</v>
      </c>
      <c r="J4" s="29" t="s">
        <v>24</v>
      </c>
      <c r="K4" s="29" t="s">
        <v>14</v>
      </c>
      <c r="L4" s="29">
        <v>10</v>
      </c>
      <c r="M4" s="29" t="s">
        <v>32</v>
      </c>
      <c r="N4" s="26" t="s">
        <v>25</v>
      </c>
      <c r="O4" s="26" t="s">
        <v>33</v>
      </c>
      <c r="P4" s="6">
        <v>370</v>
      </c>
    </row>
    <row r="5" spans="1:16" ht="25" customHeight="1" x14ac:dyDescent="0.35">
      <c r="A5" s="22"/>
      <c r="B5" s="21"/>
      <c r="C5" s="21"/>
      <c r="D5" s="2">
        <v>0.4</v>
      </c>
      <c r="E5" s="2">
        <v>0.9</v>
      </c>
      <c r="F5" s="4">
        <f t="shared" ref="F5:G22" si="0">D5*35.31</f>
        <v>14.124000000000002</v>
      </c>
      <c r="G5" s="4">
        <f t="shared" si="0"/>
        <v>31.779000000000003</v>
      </c>
      <c r="H5" s="2">
        <v>10</v>
      </c>
      <c r="I5" s="30"/>
      <c r="J5" s="30"/>
      <c r="K5" s="30"/>
      <c r="L5" s="30"/>
      <c r="M5" s="30"/>
      <c r="N5" s="27"/>
      <c r="O5" s="27"/>
      <c r="P5" s="6">
        <v>370</v>
      </c>
    </row>
    <row r="6" spans="1:16" ht="25" customHeight="1" x14ac:dyDescent="0.35">
      <c r="A6" s="22"/>
      <c r="B6" s="21"/>
      <c r="C6" s="21"/>
      <c r="D6" s="2">
        <v>0.28000000000000003</v>
      </c>
      <c r="E6" s="2">
        <v>0.63</v>
      </c>
      <c r="F6" s="4">
        <f t="shared" si="0"/>
        <v>9.8868000000000009</v>
      </c>
      <c r="G6" s="4">
        <f t="shared" si="0"/>
        <v>22.2453</v>
      </c>
      <c r="H6" s="2">
        <v>12</v>
      </c>
      <c r="I6" s="33"/>
      <c r="J6" s="33"/>
      <c r="K6" s="33"/>
      <c r="L6" s="33"/>
      <c r="M6" s="33"/>
      <c r="N6" s="28"/>
      <c r="O6" s="28"/>
      <c r="P6" s="6">
        <v>370</v>
      </c>
    </row>
    <row r="7" spans="1:16" ht="25" customHeight="1" x14ac:dyDescent="0.35">
      <c r="A7" s="31" t="s">
        <v>18</v>
      </c>
      <c r="B7" s="29">
        <v>11</v>
      </c>
      <c r="C7" s="29">
        <v>15</v>
      </c>
      <c r="D7" s="2">
        <v>0.78</v>
      </c>
      <c r="E7" s="2">
        <v>1.75</v>
      </c>
      <c r="F7" s="4">
        <f t="shared" si="0"/>
        <v>27.541800000000002</v>
      </c>
      <c r="G7" s="4">
        <f t="shared" si="0"/>
        <v>61.792500000000004</v>
      </c>
      <c r="H7" s="2">
        <v>8</v>
      </c>
      <c r="I7" s="29">
        <v>325</v>
      </c>
      <c r="J7" s="29" t="s">
        <v>24</v>
      </c>
      <c r="K7" s="29" t="s">
        <v>15</v>
      </c>
      <c r="L7" s="29">
        <v>16</v>
      </c>
      <c r="M7" s="29" t="s">
        <v>32</v>
      </c>
      <c r="N7" s="26" t="s">
        <v>25</v>
      </c>
      <c r="O7" s="26" t="s">
        <v>26</v>
      </c>
      <c r="P7" s="6">
        <v>550</v>
      </c>
    </row>
    <row r="8" spans="1:16" ht="25" customHeight="1" x14ac:dyDescent="0.35">
      <c r="A8" s="32"/>
      <c r="B8" s="30"/>
      <c r="C8" s="30"/>
      <c r="D8" s="2">
        <v>0.74</v>
      </c>
      <c r="E8" s="2">
        <v>1.65</v>
      </c>
      <c r="F8" s="4">
        <f t="shared" si="0"/>
        <v>26.1294</v>
      </c>
      <c r="G8" s="4">
        <f t="shared" si="0"/>
        <v>58.261499999999998</v>
      </c>
      <c r="H8" s="2">
        <v>10</v>
      </c>
      <c r="I8" s="30"/>
      <c r="J8" s="30"/>
      <c r="K8" s="30"/>
      <c r="L8" s="30"/>
      <c r="M8" s="30"/>
      <c r="N8" s="27"/>
      <c r="O8" s="27"/>
      <c r="P8" s="6">
        <v>550</v>
      </c>
    </row>
    <row r="9" spans="1:16" ht="25" customHeight="1" x14ac:dyDescent="0.35">
      <c r="A9" s="32"/>
      <c r="B9" s="30"/>
      <c r="C9" s="30"/>
      <c r="D9" s="2">
        <v>0.49</v>
      </c>
      <c r="E9" s="2">
        <v>1.1000000000000001</v>
      </c>
      <c r="F9" s="4">
        <f t="shared" si="0"/>
        <v>17.3019</v>
      </c>
      <c r="G9" s="4">
        <f t="shared" si="0"/>
        <v>38.841000000000008</v>
      </c>
      <c r="H9" s="2">
        <v>12</v>
      </c>
      <c r="I9" s="33"/>
      <c r="J9" s="33"/>
      <c r="K9" s="33"/>
      <c r="L9" s="33"/>
      <c r="M9" s="33"/>
      <c r="N9" s="28"/>
      <c r="O9" s="28"/>
      <c r="P9" s="6">
        <v>550</v>
      </c>
    </row>
    <row r="10" spans="1:16" ht="37.5" customHeight="1" x14ac:dyDescent="0.35">
      <c r="A10" s="32"/>
      <c r="B10" s="30"/>
      <c r="C10" s="30"/>
      <c r="D10" s="7">
        <v>0.39</v>
      </c>
      <c r="E10" s="7">
        <v>0.88</v>
      </c>
      <c r="F10" s="17">
        <f t="shared" si="0"/>
        <v>13.770900000000001</v>
      </c>
      <c r="G10" s="8">
        <f t="shared" si="0"/>
        <v>31.072800000000001</v>
      </c>
      <c r="H10" s="7">
        <v>16</v>
      </c>
      <c r="I10" s="10">
        <v>325</v>
      </c>
      <c r="J10" s="10" t="s">
        <v>24</v>
      </c>
      <c r="K10" s="9" t="s">
        <v>15</v>
      </c>
      <c r="L10" s="10">
        <v>16</v>
      </c>
      <c r="M10" s="10" t="s">
        <v>32</v>
      </c>
      <c r="N10" s="10" t="s">
        <v>27</v>
      </c>
      <c r="O10" s="18" t="s">
        <v>26</v>
      </c>
      <c r="P10" s="6">
        <v>550</v>
      </c>
    </row>
    <row r="11" spans="1:16" ht="25" customHeight="1" x14ac:dyDescent="0.35">
      <c r="A11" s="31" t="s">
        <v>19</v>
      </c>
      <c r="B11" s="29">
        <v>15</v>
      </c>
      <c r="C11" s="29">
        <v>20</v>
      </c>
      <c r="D11" s="2">
        <v>1.1000000000000001</v>
      </c>
      <c r="E11" s="2">
        <v>2.44</v>
      </c>
      <c r="F11" s="4">
        <f t="shared" si="0"/>
        <v>38.841000000000008</v>
      </c>
      <c r="G11" s="4">
        <f t="shared" si="0"/>
        <v>86.156400000000005</v>
      </c>
      <c r="H11" s="2">
        <v>8</v>
      </c>
      <c r="I11" s="29">
        <v>325</v>
      </c>
      <c r="J11" s="29" t="s">
        <v>24</v>
      </c>
      <c r="K11" s="29" t="s">
        <v>15</v>
      </c>
      <c r="L11" s="29">
        <v>16</v>
      </c>
      <c r="M11" s="29" t="s">
        <v>32</v>
      </c>
      <c r="N11" s="26" t="s">
        <v>25</v>
      </c>
      <c r="O11" s="26" t="s">
        <v>28</v>
      </c>
      <c r="P11" s="6">
        <v>550</v>
      </c>
    </row>
    <row r="12" spans="1:16" ht="25" customHeight="1" x14ac:dyDescent="0.35">
      <c r="A12" s="32"/>
      <c r="B12" s="30"/>
      <c r="C12" s="30"/>
      <c r="D12" s="2">
        <v>0.99</v>
      </c>
      <c r="E12" s="2">
        <v>2.2000000000000002</v>
      </c>
      <c r="F12" s="4">
        <f t="shared" si="0"/>
        <v>34.956900000000005</v>
      </c>
      <c r="G12" s="4">
        <f t="shared" si="0"/>
        <v>77.682000000000016</v>
      </c>
      <c r="H12" s="2">
        <v>10</v>
      </c>
      <c r="I12" s="30"/>
      <c r="J12" s="30"/>
      <c r="K12" s="30"/>
      <c r="L12" s="30"/>
      <c r="M12" s="30"/>
      <c r="N12" s="27"/>
      <c r="O12" s="27"/>
      <c r="P12" s="6">
        <v>550</v>
      </c>
    </row>
    <row r="13" spans="1:16" ht="25" customHeight="1" x14ac:dyDescent="0.35">
      <c r="A13" s="32"/>
      <c r="B13" s="30"/>
      <c r="C13" s="30"/>
      <c r="D13" s="2">
        <v>0.84</v>
      </c>
      <c r="E13" s="2">
        <v>1.87</v>
      </c>
      <c r="F13" s="4">
        <f t="shared" si="0"/>
        <v>29.660399999999999</v>
      </c>
      <c r="G13" s="4">
        <f t="shared" si="0"/>
        <v>66.029700000000005</v>
      </c>
      <c r="H13" s="2">
        <v>12</v>
      </c>
      <c r="I13" s="33"/>
      <c r="J13" s="33"/>
      <c r="K13" s="33"/>
      <c r="L13" s="33"/>
      <c r="M13" s="33"/>
      <c r="N13" s="28"/>
      <c r="O13" s="28"/>
      <c r="P13" s="6">
        <v>550</v>
      </c>
    </row>
    <row r="14" spans="1:16" s="1" customFormat="1" ht="40" customHeight="1" x14ac:dyDescent="0.35">
      <c r="A14" s="32"/>
      <c r="B14" s="30"/>
      <c r="C14" s="30"/>
      <c r="D14" s="7">
        <v>0.49</v>
      </c>
      <c r="E14" s="7">
        <v>1.1000000000000001</v>
      </c>
      <c r="F14" s="17">
        <f t="shared" si="0"/>
        <v>17.3019</v>
      </c>
      <c r="G14" s="8">
        <f t="shared" si="0"/>
        <v>38.841000000000008</v>
      </c>
      <c r="H14" s="7">
        <v>16</v>
      </c>
      <c r="I14" s="10">
        <v>325</v>
      </c>
      <c r="J14" s="10" t="s">
        <v>24</v>
      </c>
      <c r="K14" s="9" t="s">
        <v>15</v>
      </c>
      <c r="L14" s="10">
        <v>16</v>
      </c>
      <c r="M14" s="18" t="s">
        <v>32</v>
      </c>
      <c r="N14" s="9" t="s">
        <v>27</v>
      </c>
      <c r="O14" s="18" t="s">
        <v>28</v>
      </c>
      <c r="P14" s="6">
        <v>550</v>
      </c>
    </row>
    <row r="15" spans="1:16" ht="25" customHeight="1" x14ac:dyDescent="0.35">
      <c r="A15" s="31" t="s">
        <v>20</v>
      </c>
      <c r="B15" s="29">
        <v>18.5</v>
      </c>
      <c r="C15" s="29">
        <v>25</v>
      </c>
      <c r="D15" s="2">
        <v>1.35</v>
      </c>
      <c r="E15" s="3">
        <v>3</v>
      </c>
      <c r="F15" s="4">
        <f t="shared" si="0"/>
        <v>47.668500000000009</v>
      </c>
      <c r="G15" s="4">
        <f t="shared" si="0"/>
        <v>105.93</v>
      </c>
      <c r="H15" s="2">
        <v>8</v>
      </c>
      <c r="I15" s="29">
        <v>800</v>
      </c>
      <c r="J15" s="29" t="s">
        <v>24</v>
      </c>
      <c r="K15" s="29" t="s">
        <v>16</v>
      </c>
      <c r="L15" s="29">
        <v>16</v>
      </c>
      <c r="M15" s="29" t="s">
        <v>32</v>
      </c>
      <c r="N15" s="26" t="s">
        <v>25</v>
      </c>
      <c r="O15" s="26" t="s">
        <v>29</v>
      </c>
      <c r="P15" s="6">
        <v>900</v>
      </c>
    </row>
    <row r="16" spans="1:16" ht="25" customHeight="1" x14ac:dyDescent="0.35">
      <c r="A16" s="32"/>
      <c r="B16" s="30"/>
      <c r="C16" s="30"/>
      <c r="D16" s="2">
        <v>1.21</v>
      </c>
      <c r="E16" s="2">
        <v>2.7</v>
      </c>
      <c r="F16" s="4">
        <f t="shared" si="0"/>
        <v>42.725100000000005</v>
      </c>
      <c r="G16" s="4">
        <f t="shared" si="0"/>
        <v>95.337000000000018</v>
      </c>
      <c r="H16" s="2">
        <v>10</v>
      </c>
      <c r="I16" s="30"/>
      <c r="J16" s="30"/>
      <c r="K16" s="30"/>
      <c r="L16" s="30"/>
      <c r="M16" s="30"/>
      <c r="N16" s="27"/>
      <c r="O16" s="27"/>
      <c r="P16" s="6">
        <v>900</v>
      </c>
    </row>
    <row r="17" spans="1:16" ht="25" customHeight="1" x14ac:dyDescent="0.35">
      <c r="A17" s="32"/>
      <c r="B17" s="30"/>
      <c r="C17" s="30"/>
      <c r="D17" s="2">
        <v>1.03</v>
      </c>
      <c r="E17" s="2">
        <v>2.2999999999999998</v>
      </c>
      <c r="F17" s="4">
        <f t="shared" si="0"/>
        <v>36.369300000000003</v>
      </c>
      <c r="G17" s="4">
        <f t="shared" si="0"/>
        <v>81.212999999999994</v>
      </c>
      <c r="H17" s="2">
        <v>12</v>
      </c>
      <c r="I17" s="33"/>
      <c r="J17" s="33"/>
      <c r="K17" s="33"/>
      <c r="L17" s="33"/>
      <c r="M17" s="33"/>
      <c r="N17" s="28"/>
      <c r="O17" s="28"/>
      <c r="P17" s="6">
        <v>900</v>
      </c>
    </row>
    <row r="18" spans="1:16" s="1" customFormat="1" ht="35.5" customHeight="1" x14ac:dyDescent="0.35">
      <c r="A18" s="32"/>
      <c r="B18" s="30"/>
      <c r="C18" s="30"/>
      <c r="D18" s="7">
        <v>0.83</v>
      </c>
      <c r="E18" s="7">
        <v>1.85</v>
      </c>
      <c r="F18" s="17">
        <f t="shared" si="0"/>
        <v>29.307300000000001</v>
      </c>
      <c r="G18" s="8">
        <f t="shared" si="0"/>
        <v>65.32350000000001</v>
      </c>
      <c r="H18" s="7">
        <v>16</v>
      </c>
      <c r="I18" s="10">
        <v>800</v>
      </c>
      <c r="J18" s="10" t="s">
        <v>24</v>
      </c>
      <c r="K18" s="9" t="s">
        <v>16</v>
      </c>
      <c r="L18" s="10">
        <v>16</v>
      </c>
      <c r="M18" s="18" t="s">
        <v>32</v>
      </c>
      <c r="N18" s="9" t="s">
        <v>27</v>
      </c>
      <c r="O18" s="18" t="s">
        <v>29</v>
      </c>
      <c r="P18" s="6">
        <v>900</v>
      </c>
    </row>
    <row r="19" spans="1:16" ht="25" customHeight="1" x14ac:dyDescent="0.35">
      <c r="A19" s="22" t="s">
        <v>21</v>
      </c>
      <c r="B19" s="21">
        <v>22</v>
      </c>
      <c r="C19" s="21">
        <v>30</v>
      </c>
      <c r="D19" s="2">
        <v>1.62</v>
      </c>
      <c r="E19" s="2">
        <v>3.6</v>
      </c>
      <c r="F19" s="4">
        <f t="shared" si="0"/>
        <v>57.202200000000005</v>
      </c>
      <c r="G19" s="4">
        <f t="shared" si="0"/>
        <v>127.11600000000001</v>
      </c>
      <c r="H19" s="2">
        <v>8</v>
      </c>
      <c r="I19" s="29">
        <v>800</v>
      </c>
      <c r="J19" s="21" t="s">
        <v>30</v>
      </c>
      <c r="K19" s="21" t="s">
        <v>16</v>
      </c>
      <c r="L19" s="29">
        <v>20</v>
      </c>
      <c r="M19" s="21" t="s">
        <v>32</v>
      </c>
      <c r="N19" s="26" t="s">
        <v>25</v>
      </c>
      <c r="O19" s="25" t="s">
        <v>29</v>
      </c>
      <c r="P19" s="6">
        <v>900</v>
      </c>
    </row>
    <row r="20" spans="1:16" ht="25" customHeight="1" x14ac:dyDescent="0.35">
      <c r="A20" s="22"/>
      <c r="B20" s="21"/>
      <c r="C20" s="21"/>
      <c r="D20" s="2">
        <v>1.44</v>
      </c>
      <c r="E20" s="2">
        <v>3.2</v>
      </c>
      <c r="F20" s="4">
        <f t="shared" si="0"/>
        <v>50.846400000000003</v>
      </c>
      <c r="G20" s="4">
        <f t="shared" si="0"/>
        <v>112.99200000000002</v>
      </c>
      <c r="H20" s="2">
        <v>10</v>
      </c>
      <c r="I20" s="30"/>
      <c r="J20" s="21"/>
      <c r="K20" s="21"/>
      <c r="L20" s="30"/>
      <c r="M20" s="21"/>
      <c r="N20" s="27"/>
      <c r="O20" s="25"/>
      <c r="P20" s="6">
        <v>900</v>
      </c>
    </row>
    <row r="21" spans="1:16" ht="25" customHeight="1" x14ac:dyDescent="0.35">
      <c r="A21" s="22"/>
      <c r="B21" s="21"/>
      <c r="C21" s="21"/>
      <c r="D21" s="2">
        <v>1.17</v>
      </c>
      <c r="E21" s="2">
        <v>2.6</v>
      </c>
      <c r="F21" s="4">
        <f t="shared" si="0"/>
        <v>41.3127</v>
      </c>
      <c r="G21" s="4">
        <f t="shared" si="0"/>
        <v>91.806000000000012</v>
      </c>
      <c r="H21" s="2">
        <v>12</v>
      </c>
      <c r="I21" s="33"/>
      <c r="J21" s="21"/>
      <c r="K21" s="21"/>
      <c r="L21" s="33"/>
      <c r="M21" s="21"/>
      <c r="N21" s="28"/>
      <c r="O21" s="25"/>
      <c r="P21" s="6">
        <v>900</v>
      </c>
    </row>
    <row r="22" spans="1:16" s="1" customFormat="1" ht="39" customHeight="1" thickBot="1" x14ac:dyDescent="0.4">
      <c r="A22" s="23"/>
      <c r="B22" s="24"/>
      <c r="C22" s="24"/>
      <c r="D22" s="11">
        <v>1.03</v>
      </c>
      <c r="E22" s="11">
        <v>2.2999999999999998</v>
      </c>
      <c r="F22" s="12">
        <f t="shared" si="0"/>
        <v>36.369300000000003</v>
      </c>
      <c r="G22" s="19">
        <f t="shared" si="0"/>
        <v>81.212999999999994</v>
      </c>
      <c r="H22" s="11">
        <v>16</v>
      </c>
      <c r="I22" s="13">
        <v>800</v>
      </c>
      <c r="J22" s="13" t="s">
        <v>30</v>
      </c>
      <c r="K22" s="13" t="s">
        <v>16</v>
      </c>
      <c r="L22" s="13">
        <v>20</v>
      </c>
      <c r="M22" s="14" t="s">
        <v>32</v>
      </c>
      <c r="N22" s="13" t="s">
        <v>27</v>
      </c>
      <c r="O22" s="14" t="s">
        <v>29</v>
      </c>
      <c r="P22" s="15">
        <v>900</v>
      </c>
    </row>
  </sheetData>
  <mergeCells count="65">
    <mergeCell ref="A1:P1"/>
    <mergeCell ref="D3:E3"/>
    <mergeCell ref="F3:G3"/>
    <mergeCell ref="A2:A3"/>
    <mergeCell ref="B2:C2"/>
    <mergeCell ref="D2:G2"/>
    <mergeCell ref="H2:H3"/>
    <mergeCell ref="I2:I3"/>
    <mergeCell ref="N2:N3"/>
    <mergeCell ref="O2:O3"/>
    <mergeCell ref="P2:P3"/>
    <mergeCell ref="J2:J3"/>
    <mergeCell ref="A4:A6"/>
    <mergeCell ref="B4:B6"/>
    <mergeCell ref="C4:C6"/>
    <mergeCell ref="I4:I6"/>
    <mergeCell ref="J4:J6"/>
    <mergeCell ref="K2:K3"/>
    <mergeCell ref="L2:L3"/>
    <mergeCell ref="M2:M3"/>
    <mergeCell ref="M4:M6"/>
    <mergeCell ref="N4:N6"/>
    <mergeCell ref="O4:O6"/>
    <mergeCell ref="K4:K6"/>
    <mergeCell ref="L4:L6"/>
    <mergeCell ref="O7:O9"/>
    <mergeCell ref="A11:A14"/>
    <mergeCell ref="B11:B14"/>
    <mergeCell ref="C11:C14"/>
    <mergeCell ref="I11:I13"/>
    <mergeCell ref="J11:J13"/>
    <mergeCell ref="A7:A10"/>
    <mergeCell ref="B7:B10"/>
    <mergeCell ref="C7:C10"/>
    <mergeCell ref="I7:I9"/>
    <mergeCell ref="J7:J9"/>
    <mergeCell ref="K7:K9"/>
    <mergeCell ref="L7:L9"/>
    <mergeCell ref="M7:M9"/>
    <mergeCell ref="N7:N9"/>
    <mergeCell ref="K11:K13"/>
    <mergeCell ref="L11:L13"/>
    <mergeCell ref="M11:M13"/>
    <mergeCell ref="N11:N13"/>
    <mergeCell ref="O11:O13"/>
    <mergeCell ref="M15:M17"/>
    <mergeCell ref="N15:N17"/>
    <mergeCell ref="O15:O17"/>
    <mergeCell ref="A15:A18"/>
    <mergeCell ref="B15:B18"/>
    <mergeCell ref="C15:C18"/>
    <mergeCell ref="I15:I17"/>
    <mergeCell ref="J15:J17"/>
    <mergeCell ref="K15:K17"/>
    <mergeCell ref="L15:L17"/>
    <mergeCell ref="O19:O21"/>
    <mergeCell ref="A19:A22"/>
    <mergeCell ref="B19:B22"/>
    <mergeCell ref="C19:C22"/>
    <mergeCell ref="I19:I21"/>
    <mergeCell ref="J19:J21"/>
    <mergeCell ref="K19:K21"/>
    <mergeCell ref="L19:L21"/>
    <mergeCell ref="M19:M21"/>
    <mergeCell ref="N19:N21"/>
  </mergeCells>
  <pageMargins left="0.25" right="0.25" top="0.75" bottom="0.75" header="0.3" footer="0.3"/>
  <pageSetup paperSize="9" scale="7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 PMSM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2026-08-17T07:14:01Z</cp:lastPrinted>
  <dcterms:created xsi:type="dcterms:W3CDTF">2015-06-05T18:17:20Z</dcterms:created>
  <dcterms:modified xsi:type="dcterms:W3CDTF">2026-08-18T14:22:13Z</dcterms:modified>
</cp:coreProperties>
</file>